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HP\Desktop\proyecto conteo topspin - caribe\pruebas de soporte-modelo\"/>
    </mc:Choice>
  </mc:AlternateContent>
  <xr:revisionPtr revIDLastSave="0" documentId="13_ncr:1_{D14EEE10-1244-45F1-98A2-58335EB51BBD}" xr6:coauthVersionLast="47" xr6:coauthVersionMax="47" xr10:uidLastSave="{00000000-0000-0000-0000-000000000000}"/>
  <bookViews>
    <workbookView xWindow="0" yWindow="180" windowWidth="12120" windowHeight="106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" l="1"/>
  <c r="M17" i="1"/>
  <c r="L4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K2" i="1"/>
  <c r="K20" i="1"/>
  <c r="K21" i="1"/>
  <c r="K4" i="1"/>
  <c r="K9" i="1"/>
  <c r="K10" i="1"/>
  <c r="K11" i="1"/>
  <c r="K12" i="1"/>
  <c r="K13" i="1"/>
  <c r="K14" i="1"/>
  <c r="K15" i="1"/>
  <c r="K16" i="1"/>
  <c r="K17" i="1"/>
  <c r="K18" i="1"/>
  <c r="K19" i="1"/>
  <c r="M2" i="1"/>
  <c r="N17" i="1"/>
  <c r="N18" i="1"/>
  <c r="M18" i="1"/>
  <c r="N16" i="1"/>
  <c r="N19" i="1"/>
  <c r="N20" i="1"/>
  <c r="N21" i="1"/>
  <c r="M16" i="1"/>
  <c r="M19" i="1"/>
  <c r="M20" i="1"/>
  <c r="M21" i="1"/>
  <c r="M15" i="1"/>
  <c r="N15" i="1"/>
  <c r="M14" i="1"/>
  <c r="N14" i="1"/>
  <c r="N12" i="1"/>
  <c r="N13" i="1"/>
  <c r="M13" i="1"/>
  <c r="M12" i="1"/>
  <c r="N9" i="1"/>
  <c r="N10" i="1"/>
  <c r="N11" i="1"/>
  <c r="M9" i="1"/>
  <c r="M10" i="1"/>
  <c r="M11" i="1"/>
  <c r="I8" i="1"/>
  <c r="N8" i="1" s="1"/>
  <c r="I6" i="1"/>
  <c r="N6" i="1" s="1"/>
  <c r="I7" i="1"/>
  <c r="N7" i="1" s="1"/>
  <c r="N4" i="1"/>
  <c r="M4" i="1"/>
  <c r="I5" i="1"/>
  <c r="N5" i="1" s="1"/>
  <c r="I3" i="1"/>
  <c r="M3" i="1" s="1"/>
  <c r="N2" i="1"/>
  <c r="L8" i="1" l="1"/>
  <c r="L7" i="1"/>
  <c r="L3" i="1"/>
  <c r="L6" i="1"/>
  <c r="L5" i="1"/>
  <c r="K7" i="1"/>
  <c r="K6" i="1"/>
  <c r="K5" i="1"/>
  <c r="K3" i="1"/>
  <c r="O9" i="1"/>
  <c r="O10" i="1"/>
  <c r="O17" i="1"/>
  <c r="K8" i="1"/>
  <c r="L2" i="1"/>
  <c r="O21" i="1"/>
  <c r="O20" i="1"/>
  <c r="M6" i="1"/>
  <c r="O6" i="1" s="1"/>
  <c r="O4" i="1"/>
  <c r="O2" i="1"/>
  <c r="O15" i="1"/>
  <c r="O12" i="1"/>
  <c r="O11" i="1"/>
  <c r="O13" i="1"/>
  <c r="O18" i="1"/>
  <c r="O19" i="1"/>
  <c r="N3" i="1"/>
  <c r="S2" i="1" s="1"/>
  <c r="M8" i="1"/>
  <c r="O8" i="1" s="1"/>
  <c r="M5" i="1"/>
  <c r="O5" i="1" s="1"/>
  <c r="M7" i="1"/>
  <c r="O7" i="1" s="1"/>
  <c r="O14" i="1"/>
  <c r="O16" i="1"/>
  <c r="V2" i="1" l="1"/>
  <c r="K22" i="1"/>
  <c r="R2" i="1"/>
  <c r="Q2" i="1"/>
  <c r="P2" i="1"/>
  <c r="L22" i="1"/>
  <c r="O3" i="1"/>
  <c r="T2" i="1" s="1"/>
</calcChain>
</file>

<file path=xl/sharedStrings.xml><?xml version="1.0" encoding="utf-8"?>
<sst xmlns="http://schemas.openxmlformats.org/spreadsheetml/2006/main" count="62" uniqueCount="58">
  <si>
    <t>var</t>
  </si>
  <si>
    <t>bloq</t>
  </si>
  <si>
    <t>cama</t>
  </si>
  <si>
    <t>N_operario</t>
  </si>
  <si>
    <t>N_modelo</t>
  </si>
  <si>
    <t>N_real</t>
  </si>
  <si>
    <t>lineas_Operario</t>
  </si>
  <si>
    <t>lineas_real</t>
  </si>
  <si>
    <t>Fecha</t>
  </si>
  <si>
    <t>Fecha siembra</t>
  </si>
  <si>
    <t>31B</t>
  </si>
  <si>
    <t>Skylie</t>
  </si>
  <si>
    <t>Skylie-Forrester</t>
  </si>
  <si>
    <t>30B</t>
  </si>
  <si>
    <t>Trissia</t>
  </si>
  <si>
    <t>27B</t>
  </si>
  <si>
    <t>Veronica Peach</t>
  </si>
  <si>
    <t>26B</t>
  </si>
  <si>
    <t>23B</t>
  </si>
  <si>
    <t>22B</t>
  </si>
  <si>
    <t>ErD</t>
  </si>
  <si>
    <t>Alma</t>
  </si>
  <si>
    <t>22A</t>
  </si>
  <si>
    <t>23A</t>
  </si>
  <si>
    <t>19B</t>
  </si>
  <si>
    <t>18B</t>
  </si>
  <si>
    <t>Jungle Mist</t>
  </si>
  <si>
    <t>Champagne Yellow</t>
  </si>
  <si>
    <t>Artigas</t>
  </si>
  <si>
    <t>15B</t>
  </si>
  <si>
    <t>Raspberry brulee</t>
  </si>
  <si>
    <t>Whatsapp</t>
  </si>
  <si>
    <t>14B</t>
  </si>
  <si>
    <t>14A</t>
  </si>
  <si>
    <t>Brazilian</t>
  </si>
  <si>
    <t>19A</t>
  </si>
  <si>
    <t>Emodelo</t>
  </si>
  <si>
    <t>Eoperario</t>
  </si>
  <si>
    <t>ErrorPromModelo</t>
  </si>
  <si>
    <t>ErrorPromOperario</t>
  </si>
  <si>
    <t>ErrorAcuModelo</t>
  </si>
  <si>
    <t>ErrorAcuOperario</t>
  </si>
  <si>
    <t>ErDAcu</t>
  </si>
  <si>
    <t>7B</t>
  </si>
  <si>
    <t>6B</t>
  </si>
  <si>
    <t>3B</t>
  </si>
  <si>
    <t>2B</t>
  </si>
  <si>
    <t>Cruise-Whatsapp</t>
  </si>
  <si>
    <t>Celebrate_Lovato Apricot</t>
  </si>
  <si>
    <t>Hertz</t>
  </si>
  <si>
    <t>DesEsM</t>
  </si>
  <si>
    <t>DesEsO</t>
  </si>
  <si>
    <t>ErAbsM</t>
  </si>
  <si>
    <t>ErAbsO</t>
  </si>
  <si>
    <t>43B</t>
  </si>
  <si>
    <t>Superb</t>
  </si>
  <si>
    <t>Jaxon</t>
  </si>
  <si>
    <t>44A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</si>
</sst>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0" fontId="1" fillId="0" borderId="1" xfId="1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%Error conteo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1.7387246728339672E-2"/>
          <c:y val="0.10104697499230517"/>
          <c:w val="0.96812338099804396"/>
          <c:h val="0.745617812610972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Hoja1!$M$1</c:f>
              <c:strCache>
                <c:ptCount val="1"/>
                <c:pt idx="0">
                  <c:v>Emodelo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t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Hoja1!$M$2:$M$21</c:f>
              <c:numCache>
                <c:formatCode>0.00%</c:formatCode>
                <c:ptCount val="20"/>
                <c:pt idx="0">
                  <c:v>6.6755674232309744E-4</c:v>
                </c:pt>
                <c:pt idx="1">
                  <c:v>1.3711364164536371E-2</c:v>
                </c:pt>
                <c:pt idx="2">
                  <c:v>2.1038790269559501E-2</c:v>
                </c:pt>
                <c:pt idx="3">
                  <c:v>7.5325268203606487E-3</c:v>
                </c:pt>
                <c:pt idx="4">
                  <c:v>2.1710811984368216E-4</c:v>
                </c:pt>
                <c:pt idx="5">
                  <c:v>1.6813787305590584E-3</c:v>
                </c:pt>
                <c:pt idx="6">
                  <c:v>1.8819101387908728E-3</c:v>
                </c:pt>
                <c:pt idx="7">
                  <c:v>4.9321824907521579E-3</c:v>
                </c:pt>
                <c:pt idx="8">
                  <c:v>2.0215633423180594E-3</c:v>
                </c:pt>
                <c:pt idx="9">
                  <c:v>1.0401548137397194E-2</c:v>
                </c:pt>
                <c:pt idx="10">
                  <c:v>1.7801513128615932E-2</c:v>
                </c:pt>
                <c:pt idx="11">
                  <c:v>7.5301204819277108E-3</c:v>
                </c:pt>
                <c:pt idx="12">
                  <c:v>3.8843331894691411E-3</c:v>
                </c:pt>
                <c:pt idx="13">
                  <c:v>4.5871559633027525E-3</c:v>
                </c:pt>
                <c:pt idx="14">
                  <c:v>2.5510204081632651E-3</c:v>
                </c:pt>
                <c:pt idx="15">
                  <c:v>3.1152647975077881E-3</c:v>
                </c:pt>
                <c:pt idx="16">
                  <c:v>6.9799906933457421E-3</c:v>
                </c:pt>
                <c:pt idx="17">
                  <c:v>5.2320291173794361E-3</c:v>
                </c:pt>
                <c:pt idx="18">
                  <c:v>3.7698412698412699E-3</c:v>
                </c:pt>
                <c:pt idx="19">
                  <c:v>2.4316109422492403E-3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1-4FB7-9AFA-CAE9358CF9C5}"/>
            </c:ext>
          </c:extLst>
        </c:ser>
        <c:ser>
          <c:idx val="1"/>
          <c:order val="1"/>
          <c:tx>
            <c:strRef>
              <c:f>Hoja1!$N$1</c:f>
              <c:strCache>
                <c:ptCount val="1"/>
                <c:pt idx="0">
                  <c:v>Eoperario</c:v>
                </c:pt>
              </c:strCache>
            </c:strRef>
          </c:tx>
          <c:spPr>
            <a:solidFill>
              <a:srgbClr val="FFFF00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Hoja1!$N$2:$N$21</c:f>
              <c:numCache>
                <c:formatCode>0.00%</c:formatCode>
                <c:ptCount val="20"/>
                <c:pt idx="0">
                  <c:v>6.2305295950155761E-3</c:v>
                </c:pt>
                <c:pt idx="1">
                  <c:v>2.1148036253776436E-2</c:v>
                </c:pt>
                <c:pt idx="2">
                  <c:v>8.5470085470085472E-2</c:v>
                </c:pt>
                <c:pt idx="3">
                  <c:v>5.9347181008902079E-3</c:v>
                </c:pt>
                <c:pt idx="4">
                  <c:v>0</c:v>
                </c:pt>
                <c:pt idx="5">
                  <c:v>8.4068936527952921E-3</c:v>
                </c:pt>
                <c:pt idx="6">
                  <c:v>6.1397318278052226E-2</c:v>
                </c:pt>
                <c:pt idx="7">
                  <c:v>1.3070283600493218E-2</c:v>
                </c:pt>
                <c:pt idx="8">
                  <c:v>3.1446540880503146E-3</c:v>
                </c:pt>
                <c:pt idx="9">
                  <c:v>0</c:v>
                </c:pt>
                <c:pt idx="10">
                  <c:v>9.3457943925233638E-3</c:v>
                </c:pt>
                <c:pt idx="11">
                  <c:v>0</c:v>
                </c:pt>
                <c:pt idx="12">
                  <c:v>2.1148036253776436E-2</c:v>
                </c:pt>
                <c:pt idx="13">
                  <c:v>0</c:v>
                </c:pt>
                <c:pt idx="14">
                  <c:v>2.976190476190476E-3</c:v>
                </c:pt>
                <c:pt idx="15">
                  <c:v>8.4112149532710276E-2</c:v>
                </c:pt>
                <c:pt idx="16">
                  <c:v>3.2573289902280132E-3</c:v>
                </c:pt>
                <c:pt idx="17">
                  <c:v>1.2738853503184714E-2</c:v>
                </c:pt>
                <c:pt idx="18">
                  <c:v>8.9285714285714281E-3</c:v>
                </c:pt>
                <c:pt idx="19">
                  <c:v>3.0395136778115501E-3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71-4FB7-9AFA-CAE9358CF9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93533583"/>
        <c:axId val="693526927"/>
      </c:barChart>
      <c:catAx>
        <c:axId val="69353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3526927"/>
        <c:crosses val="autoZero"/>
        <c:auto val="1"/>
        <c:lblAlgn val="ctr"/>
        <c:lblOffset val="100"/>
        <c:noMultiLvlLbl val="0"/>
      </c:catAx>
      <c:valAx>
        <c:axId val="69352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353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527755</xdr:colOff>
      <xdr:row>0</xdr:row>
      <xdr:rowOff>61737</xdr:rowOff>
    </xdr:from>
    <xdr:to>
      <xdr:col>39</xdr:col>
      <xdr:colOff>196391</xdr:colOff>
      <xdr:row>22</xdr:row>
      <xdr:rowOff>122027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60713E-24B8-4F8F-A129-26B147E77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1"/>
  <sheetViews>
    <sheetView tabSelected="1" topLeftCell="M1" zoomScale="73" zoomScaleNormal="100" workbookViewId="0">
      <selection activeCell="U2" sqref="U2:U21"/>
    </sheetView>
  </sheetViews>
  <sheetFormatPr baseColWidth="10" defaultColWidth="9.140625" defaultRowHeight="15" x14ac:dyDescent="0.25"/>
  <cols>
    <col min="1" max="1" width="13" style="1" bestFit="1" customWidth="1"/>
    <col min="2" max="2" width="13.28515625" style="1" bestFit="1" customWidth="1"/>
    <col min="3" max="3" width="27.28515625" style="1" bestFit="1" customWidth="1"/>
    <col min="4" max="5" width="9.140625" style="1"/>
    <col min="6" max="6" width="10.5703125" style="1" bestFit="1" customWidth="1"/>
    <col min="7" max="7" width="14.28515625" style="1" bestFit="1" customWidth="1"/>
    <col min="8" max="8" width="9.7109375" style="1" bestFit="1" customWidth="1"/>
    <col min="9" max="9" width="6.85546875" style="1" bestFit="1" customWidth="1"/>
    <col min="10" max="10" width="12.42578125" style="1" bestFit="1" customWidth="1"/>
    <col min="11" max="11" width="15.85546875" style="4" bestFit="1" customWidth="1"/>
    <col min="12" max="12" width="10" style="4" customWidth="1"/>
    <col min="13" max="14" width="11.85546875" bestFit="1" customWidth="1"/>
    <col min="15" max="15" width="10.140625" customWidth="1"/>
    <col min="16" max="16" width="16.7109375" bestFit="1" customWidth="1"/>
    <col min="17" max="17" width="17.5703125" bestFit="1" customWidth="1"/>
    <col min="18" max="18" width="15.5703125" bestFit="1" customWidth="1"/>
    <col min="19" max="19" width="16.7109375" bestFit="1" customWidth="1"/>
    <col min="20" max="21" width="15.28515625" bestFit="1" customWidth="1"/>
    <col min="22" max="22" width="9.85546875" bestFit="1" customWidth="1"/>
  </cols>
  <sheetData>
    <row r="1" spans="1:22" x14ac:dyDescent="0.25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</v>
      </c>
      <c r="H1" s="1" t="s">
        <v>4</v>
      </c>
      <c r="I1" s="1" t="s">
        <v>5</v>
      </c>
      <c r="J1" s="1" t="s">
        <v>7</v>
      </c>
      <c r="K1" s="1" t="s">
        <v>52</v>
      </c>
      <c r="L1" s="1" t="s">
        <v>53</v>
      </c>
      <c r="M1" s="1" t="s">
        <v>36</v>
      </c>
      <c r="N1" s="1" t="s">
        <v>37</v>
      </c>
      <c r="O1" s="1" t="s">
        <v>20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50</v>
      </c>
      <c r="V1" s="1" t="s">
        <v>51</v>
      </c>
    </row>
    <row r="2" spans="1:22" x14ac:dyDescent="0.25">
      <c r="A2" s="2">
        <v>46134</v>
      </c>
      <c r="B2" s="2">
        <v>46130</v>
      </c>
      <c r="C2" s="1" t="s">
        <v>12</v>
      </c>
      <c r="D2" s="1">
        <v>50</v>
      </c>
      <c r="E2" s="1" t="s">
        <v>10</v>
      </c>
      <c r="F2" s="1">
        <v>4466</v>
      </c>
      <c r="G2" s="1">
        <v>319</v>
      </c>
      <c r="H2" s="1">
        <v>4491</v>
      </c>
      <c r="I2" s="1">
        <v>4494</v>
      </c>
      <c r="J2" s="1">
        <v>321</v>
      </c>
      <c r="K2" s="1">
        <f t="shared" ref="K2:K21" si="0">ABS(H2-I2)</f>
        <v>3</v>
      </c>
      <c r="L2" s="1">
        <f t="shared" ref="L2:L21" si="1">ABS(F2-I2)</f>
        <v>28</v>
      </c>
      <c r="M2" s="3">
        <f t="shared" ref="M2:M21" si="2">ABS(I2-H2)/I2</f>
        <v>6.6755674232309744E-4</v>
      </c>
      <c r="N2" s="3">
        <f t="shared" ref="N2:N21" si="3">ABS(I2-F2)/I2</f>
        <v>6.2305295950155761E-3</v>
      </c>
      <c r="O2" s="3">
        <f>(N2-M2)</f>
        <v>5.5629728526924785E-3</v>
      </c>
      <c r="P2" s="13">
        <f>AVERAGE(M2:M21)</f>
        <v>6.0984404474121465E-3</v>
      </c>
      <c r="Q2" s="13">
        <f>AVERAGE(N2:N21)</f>
        <v>1.7517447864707748E-2</v>
      </c>
      <c r="R2" s="13">
        <f>SUM(M2:M21)</f>
        <v>0.12196880894824293</v>
      </c>
      <c r="S2" s="13">
        <f>SUM(N2:N21)</f>
        <v>0.35034895729415499</v>
      </c>
      <c r="T2" s="13">
        <f>SUM(O2:O21)</f>
        <v>0.22838014834591208</v>
      </c>
      <c r="U2" s="10">
        <f>_xlfn.STDEV.P(K2:K21)</f>
        <v>24.592427696345883</v>
      </c>
      <c r="V2" s="10">
        <f>_xlfn.STDEV.P(L2:L21)</f>
        <v>120.21123075653124</v>
      </c>
    </row>
    <row r="3" spans="1:22" x14ac:dyDescent="0.25">
      <c r="A3" s="2">
        <v>46134</v>
      </c>
      <c r="B3" s="2">
        <v>46130</v>
      </c>
      <c r="C3" s="1" t="s">
        <v>14</v>
      </c>
      <c r="D3" s="1">
        <v>50</v>
      </c>
      <c r="E3" s="1" t="s">
        <v>13</v>
      </c>
      <c r="F3" s="9">
        <v>4212</v>
      </c>
      <c r="G3" s="1">
        <v>324</v>
      </c>
      <c r="H3" s="1">
        <v>4362</v>
      </c>
      <c r="I3" s="1">
        <f>J3*13</f>
        <v>4303</v>
      </c>
      <c r="J3" s="1">
        <v>331</v>
      </c>
      <c r="K3" s="1">
        <f t="shared" si="0"/>
        <v>59</v>
      </c>
      <c r="L3" s="1">
        <f t="shared" si="1"/>
        <v>91</v>
      </c>
      <c r="M3" s="3">
        <f t="shared" si="2"/>
        <v>1.3711364164536371E-2</v>
      </c>
      <c r="N3" s="3">
        <f t="shared" si="3"/>
        <v>2.1148036253776436E-2</v>
      </c>
      <c r="O3" s="3">
        <f t="shared" ref="O3:O20" si="4">(N3-M3)</f>
        <v>7.4366720892400651E-3</v>
      </c>
      <c r="P3" s="11"/>
      <c r="Q3" s="11"/>
      <c r="R3" s="11"/>
      <c r="S3" s="11"/>
      <c r="T3" s="11"/>
      <c r="U3" s="11"/>
      <c r="V3" s="11"/>
    </row>
    <row r="4" spans="1:22" x14ac:dyDescent="0.25">
      <c r="A4" s="2">
        <v>46134</v>
      </c>
      <c r="B4" s="2">
        <v>46130</v>
      </c>
      <c r="C4" s="1" t="s">
        <v>16</v>
      </c>
      <c r="D4" s="1">
        <v>50</v>
      </c>
      <c r="E4" s="1" t="s">
        <v>15</v>
      </c>
      <c r="F4" s="1">
        <v>4173</v>
      </c>
      <c r="G4" s="1">
        <v>321</v>
      </c>
      <c r="H4" s="1">
        <v>4659</v>
      </c>
      <c r="I4" s="1">
        <v>4563</v>
      </c>
      <c r="J4" s="1">
        <v>351</v>
      </c>
      <c r="K4" s="1">
        <f t="shared" si="0"/>
        <v>96</v>
      </c>
      <c r="L4" s="1">
        <f t="shared" si="1"/>
        <v>390</v>
      </c>
      <c r="M4" s="3">
        <f t="shared" si="2"/>
        <v>2.1038790269559501E-2</v>
      </c>
      <c r="N4" s="3">
        <f t="shared" si="3"/>
        <v>8.5470085470085472E-2</v>
      </c>
      <c r="O4" s="3">
        <f t="shared" si="4"/>
        <v>6.443129520052597E-2</v>
      </c>
      <c r="P4" s="11"/>
      <c r="Q4" s="11"/>
      <c r="R4" s="11"/>
      <c r="S4" s="11"/>
      <c r="T4" s="11"/>
      <c r="U4" s="11"/>
      <c r="V4" s="11"/>
    </row>
    <row r="5" spans="1:22" x14ac:dyDescent="0.25">
      <c r="A5" s="2">
        <v>46134</v>
      </c>
      <c r="B5" s="2">
        <v>46130</v>
      </c>
      <c r="C5" s="1" t="s">
        <v>16</v>
      </c>
      <c r="D5" s="1">
        <v>50</v>
      </c>
      <c r="E5" s="1" t="s">
        <v>17</v>
      </c>
      <c r="F5" s="1">
        <v>4355</v>
      </c>
      <c r="G5" s="1">
        <v>335</v>
      </c>
      <c r="H5" s="1">
        <v>4414</v>
      </c>
      <c r="I5" s="1">
        <f>J5*13</f>
        <v>4381</v>
      </c>
      <c r="J5" s="1">
        <v>337</v>
      </c>
      <c r="K5" s="1">
        <f t="shared" si="0"/>
        <v>33</v>
      </c>
      <c r="L5" s="1">
        <f t="shared" si="1"/>
        <v>26</v>
      </c>
      <c r="M5" s="3">
        <f t="shared" si="2"/>
        <v>7.5325268203606487E-3</v>
      </c>
      <c r="N5" s="3">
        <f t="shared" si="3"/>
        <v>5.9347181008902079E-3</v>
      </c>
      <c r="O5" s="3">
        <f t="shared" si="4"/>
        <v>-1.5978087194704407E-3</v>
      </c>
      <c r="P5" s="11"/>
      <c r="Q5" s="11"/>
      <c r="R5" s="11"/>
      <c r="S5" s="11"/>
      <c r="T5" s="11"/>
      <c r="U5" s="11"/>
      <c r="V5" s="11"/>
    </row>
    <row r="6" spans="1:22" x14ac:dyDescent="0.25">
      <c r="A6" s="2">
        <v>46134</v>
      </c>
      <c r="B6" s="2">
        <v>46130</v>
      </c>
      <c r="C6" s="1" t="s">
        <v>11</v>
      </c>
      <c r="D6" s="1">
        <v>50</v>
      </c>
      <c r="E6" s="1" t="s">
        <v>18</v>
      </c>
      <c r="F6" s="1">
        <v>4606</v>
      </c>
      <c r="G6" s="1">
        <v>329</v>
      </c>
      <c r="H6" s="1">
        <v>4605</v>
      </c>
      <c r="I6" s="1">
        <f>329*14</f>
        <v>4606</v>
      </c>
      <c r="J6" s="1">
        <v>329</v>
      </c>
      <c r="K6" s="1">
        <f t="shared" si="0"/>
        <v>1</v>
      </c>
      <c r="L6" s="1">
        <f t="shared" si="1"/>
        <v>0</v>
      </c>
      <c r="M6" s="3">
        <f t="shared" si="2"/>
        <v>2.1710811984368216E-4</v>
      </c>
      <c r="N6" s="3">
        <f t="shared" si="3"/>
        <v>0</v>
      </c>
      <c r="O6" s="3">
        <f>(N6-M6)</f>
        <v>-2.1710811984368216E-4</v>
      </c>
      <c r="P6" s="11"/>
      <c r="Q6" s="11"/>
      <c r="R6" s="11"/>
      <c r="S6" s="11"/>
      <c r="T6" s="11"/>
      <c r="U6" s="11"/>
      <c r="V6" s="11"/>
    </row>
    <row r="7" spans="1:22" x14ac:dyDescent="0.25">
      <c r="A7" s="2">
        <v>46134</v>
      </c>
      <c r="B7" s="2">
        <v>46130</v>
      </c>
      <c r="C7" s="1" t="s">
        <v>11</v>
      </c>
      <c r="D7" s="1">
        <v>50</v>
      </c>
      <c r="E7" s="1" t="s">
        <v>19</v>
      </c>
      <c r="F7" s="1">
        <v>4718</v>
      </c>
      <c r="G7" s="1">
        <v>294</v>
      </c>
      <c r="H7" s="1">
        <v>4750</v>
      </c>
      <c r="I7" s="1">
        <f>(340*14)-2</f>
        <v>4758</v>
      </c>
      <c r="J7" s="1">
        <v>340</v>
      </c>
      <c r="K7" s="1">
        <f t="shared" si="0"/>
        <v>8</v>
      </c>
      <c r="L7" s="1">
        <f t="shared" si="1"/>
        <v>40</v>
      </c>
      <c r="M7" s="3">
        <f t="shared" si="2"/>
        <v>1.6813787305590584E-3</v>
      </c>
      <c r="N7" s="3">
        <f t="shared" si="3"/>
        <v>8.4068936527952921E-3</v>
      </c>
      <c r="O7" s="3">
        <f t="shared" si="4"/>
        <v>6.7255149222362337E-3</v>
      </c>
      <c r="P7" s="11"/>
      <c r="Q7" s="11"/>
      <c r="R7" s="11"/>
      <c r="S7" s="11"/>
      <c r="T7" s="11"/>
      <c r="U7" s="11"/>
      <c r="V7" s="11"/>
    </row>
    <row r="8" spans="1:22" x14ac:dyDescent="0.25">
      <c r="A8" s="2">
        <v>46134</v>
      </c>
      <c r="B8" s="2">
        <v>46130</v>
      </c>
      <c r="C8" s="1" t="s">
        <v>21</v>
      </c>
      <c r="D8" s="1">
        <v>50</v>
      </c>
      <c r="E8" s="1" t="s">
        <v>22</v>
      </c>
      <c r="F8" s="1">
        <v>3990</v>
      </c>
      <c r="G8" s="1">
        <v>307</v>
      </c>
      <c r="H8" s="1">
        <v>4243</v>
      </c>
      <c r="I8" s="1">
        <f>327*13</f>
        <v>4251</v>
      </c>
      <c r="J8" s="1">
        <v>327</v>
      </c>
      <c r="K8" s="1">
        <f t="shared" si="0"/>
        <v>8</v>
      </c>
      <c r="L8" s="1">
        <f t="shared" si="1"/>
        <v>261</v>
      </c>
      <c r="M8" s="3">
        <f t="shared" si="2"/>
        <v>1.8819101387908728E-3</v>
      </c>
      <c r="N8" s="3">
        <f t="shared" si="3"/>
        <v>6.1397318278052226E-2</v>
      </c>
      <c r="O8" s="3">
        <f t="shared" si="4"/>
        <v>5.9515408139261351E-2</v>
      </c>
      <c r="P8" s="11"/>
      <c r="Q8" s="11"/>
      <c r="R8" s="11"/>
      <c r="S8" s="11"/>
      <c r="T8" s="11"/>
      <c r="U8" s="11"/>
      <c r="V8" s="11"/>
    </row>
    <row r="9" spans="1:22" x14ac:dyDescent="0.25">
      <c r="A9" s="2">
        <v>46135</v>
      </c>
      <c r="B9" s="2">
        <v>46130</v>
      </c>
      <c r="C9" s="1" t="s">
        <v>21</v>
      </c>
      <c r="D9" s="1">
        <v>50</v>
      </c>
      <c r="E9" s="1" t="s">
        <v>23</v>
      </c>
      <c r="F9" s="1">
        <v>4108</v>
      </c>
      <c r="G9" s="1">
        <v>316</v>
      </c>
      <c r="H9" s="1">
        <v>4035</v>
      </c>
      <c r="I9" s="1">
        <v>4055</v>
      </c>
      <c r="J9" s="1">
        <v>312</v>
      </c>
      <c r="K9" s="1">
        <f t="shared" si="0"/>
        <v>20</v>
      </c>
      <c r="L9" s="1">
        <f t="shared" si="1"/>
        <v>53</v>
      </c>
      <c r="M9" s="3">
        <f t="shared" si="2"/>
        <v>4.9321824907521579E-3</v>
      </c>
      <c r="N9" s="3">
        <f t="shared" si="3"/>
        <v>1.3070283600493218E-2</v>
      </c>
      <c r="O9" s="3">
        <f>(N9-M9)</f>
        <v>8.13810110974106E-3</v>
      </c>
      <c r="P9" s="11"/>
      <c r="Q9" s="11"/>
      <c r="R9" s="11"/>
      <c r="S9" s="11"/>
      <c r="T9" s="11"/>
      <c r="U9" s="11"/>
      <c r="V9" s="11"/>
    </row>
    <row r="10" spans="1:22" x14ac:dyDescent="0.25">
      <c r="A10" s="2">
        <v>46135</v>
      </c>
      <c r="B10" s="2">
        <v>46130</v>
      </c>
      <c r="C10" s="1" t="s">
        <v>26</v>
      </c>
      <c r="D10" s="1">
        <v>50</v>
      </c>
      <c r="E10" s="1" t="s">
        <v>24</v>
      </c>
      <c r="F10" s="9">
        <v>4438</v>
      </c>
      <c r="G10" s="1">
        <v>317</v>
      </c>
      <c r="H10" s="1">
        <v>4461</v>
      </c>
      <c r="I10" s="1">
        <v>4452</v>
      </c>
      <c r="J10" s="1">
        <v>318</v>
      </c>
      <c r="K10" s="1">
        <f t="shared" si="0"/>
        <v>9</v>
      </c>
      <c r="L10" s="1">
        <f t="shared" si="1"/>
        <v>14</v>
      </c>
      <c r="M10" s="3">
        <f t="shared" si="2"/>
        <v>2.0215633423180594E-3</v>
      </c>
      <c r="N10" s="3">
        <f t="shared" si="3"/>
        <v>3.1446540880503146E-3</v>
      </c>
      <c r="O10" s="3">
        <f t="shared" si="4"/>
        <v>1.1230907457322552E-3</v>
      </c>
      <c r="P10" s="11"/>
      <c r="Q10" s="11"/>
      <c r="R10" s="11"/>
      <c r="S10" s="11"/>
      <c r="T10" s="11"/>
      <c r="U10" s="11"/>
      <c r="V10" s="11"/>
    </row>
    <row r="11" spans="1:22" x14ac:dyDescent="0.25">
      <c r="A11" s="2">
        <v>46135</v>
      </c>
      <c r="B11" s="2">
        <v>46130</v>
      </c>
      <c r="C11" s="1" t="s">
        <v>27</v>
      </c>
      <c r="D11" s="1">
        <v>50</v>
      </c>
      <c r="E11" s="1" t="s">
        <v>25</v>
      </c>
      <c r="F11" s="1">
        <v>4134</v>
      </c>
      <c r="G11" s="1">
        <v>318</v>
      </c>
      <c r="H11" s="1">
        <v>4091</v>
      </c>
      <c r="I11" s="1">
        <v>4134</v>
      </c>
      <c r="J11" s="1">
        <v>318</v>
      </c>
      <c r="K11" s="1">
        <f t="shared" si="0"/>
        <v>43</v>
      </c>
      <c r="L11" s="1">
        <f t="shared" si="1"/>
        <v>0</v>
      </c>
      <c r="M11" s="3">
        <f t="shared" si="2"/>
        <v>1.0401548137397194E-2</v>
      </c>
      <c r="N11" s="3">
        <f t="shared" si="3"/>
        <v>0</v>
      </c>
      <c r="O11" s="3">
        <f t="shared" si="4"/>
        <v>-1.0401548137397194E-2</v>
      </c>
      <c r="P11" s="11"/>
      <c r="Q11" s="11"/>
      <c r="R11" s="11"/>
      <c r="S11" s="11"/>
      <c r="T11" s="11"/>
      <c r="U11" s="11"/>
      <c r="V11" s="11"/>
    </row>
    <row r="12" spans="1:22" x14ac:dyDescent="0.25">
      <c r="A12" s="2">
        <v>46135</v>
      </c>
      <c r="B12" s="2">
        <v>46130</v>
      </c>
      <c r="C12" s="1" t="s">
        <v>34</v>
      </c>
      <c r="D12" s="1">
        <v>50</v>
      </c>
      <c r="E12" s="1" t="s">
        <v>35</v>
      </c>
      <c r="F12" s="1">
        <v>4536</v>
      </c>
      <c r="G12" s="1">
        <v>324</v>
      </c>
      <c r="H12" s="1">
        <v>4414</v>
      </c>
      <c r="I12" s="1">
        <v>4494</v>
      </c>
      <c r="J12" s="1">
        <v>321</v>
      </c>
      <c r="K12" s="1">
        <f t="shared" si="0"/>
        <v>80</v>
      </c>
      <c r="L12" s="1">
        <f t="shared" si="1"/>
        <v>42</v>
      </c>
      <c r="M12" s="3">
        <f t="shared" si="2"/>
        <v>1.7801513128615932E-2</v>
      </c>
      <c r="N12" s="3">
        <f t="shared" si="3"/>
        <v>9.3457943925233638E-3</v>
      </c>
      <c r="O12" s="3">
        <f t="shared" si="4"/>
        <v>-8.4557187360925681E-3</v>
      </c>
      <c r="P12" s="11"/>
      <c r="Q12" s="11"/>
      <c r="R12" s="11"/>
      <c r="S12" s="11"/>
      <c r="T12" s="11"/>
      <c r="U12" s="11"/>
      <c r="V12" s="11"/>
    </row>
    <row r="13" spans="1:22" x14ac:dyDescent="0.25">
      <c r="A13" s="2">
        <v>46135</v>
      </c>
      <c r="B13" s="2">
        <v>46130</v>
      </c>
      <c r="C13" s="1" t="s">
        <v>30</v>
      </c>
      <c r="D13" s="1">
        <v>50</v>
      </c>
      <c r="E13" s="1" t="s">
        <v>29</v>
      </c>
      <c r="F13" s="9">
        <v>4648</v>
      </c>
      <c r="G13" s="1">
        <v>332</v>
      </c>
      <c r="H13" s="1">
        <v>4683</v>
      </c>
      <c r="I13" s="1">
        <v>4648</v>
      </c>
      <c r="J13" s="1">
        <v>332</v>
      </c>
      <c r="K13" s="1">
        <f t="shared" si="0"/>
        <v>35</v>
      </c>
      <c r="L13" s="1">
        <f t="shared" si="1"/>
        <v>0</v>
      </c>
      <c r="M13" s="3">
        <f t="shared" si="2"/>
        <v>7.5301204819277108E-3</v>
      </c>
      <c r="N13" s="3">
        <f t="shared" si="3"/>
        <v>0</v>
      </c>
      <c r="O13" s="3">
        <f t="shared" si="4"/>
        <v>-7.5301204819277108E-3</v>
      </c>
      <c r="P13" s="11"/>
      <c r="Q13" s="11"/>
      <c r="R13" s="11"/>
      <c r="S13" s="11"/>
      <c r="T13" s="11"/>
      <c r="U13" s="11"/>
      <c r="V13" s="11"/>
    </row>
    <row r="14" spans="1:22" x14ac:dyDescent="0.25">
      <c r="A14" s="2">
        <v>46135</v>
      </c>
      <c r="B14" s="2">
        <v>46130</v>
      </c>
      <c r="C14" s="1" t="s">
        <v>31</v>
      </c>
      <c r="D14" s="1">
        <v>50</v>
      </c>
      <c r="E14" s="1" t="s">
        <v>32</v>
      </c>
      <c r="F14" s="1">
        <v>4732</v>
      </c>
      <c r="G14" s="1">
        <v>338</v>
      </c>
      <c r="H14" s="1">
        <v>4652</v>
      </c>
      <c r="I14" s="1">
        <v>4634</v>
      </c>
      <c r="J14" s="1">
        <v>331</v>
      </c>
      <c r="K14" s="1">
        <f t="shared" si="0"/>
        <v>18</v>
      </c>
      <c r="L14" s="1">
        <f t="shared" si="1"/>
        <v>98</v>
      </c>
      <c r="M14" s="3">
        <f t="shared" si="2"/>
        <v>3.8843331894691411E-3</v>
      </c>
      <c r="N14" s="3">
        <f t="shared" si="3"/>
        <v>2.1148036253776436E-2</v>
      </c>
      <c r="O14" s="3">
        <f t="shared" si="4"/>
        <v>1.7263703064307294E-2</v>
      </c>
      <c r="P14" s="11"/>
      <c r="Q14" s="11"/>
      <c r="R14" s="11"/>
      <c r="S14" s="11"/>
      <c r="T14" s="11"/>
      <c r="U14" s="11"/>
      <c r="V14" s="11"/>
    </row>
    <row r="15" spans="1:22" x14ac:dyDescent="0.25">
      <c r="A15" s="2">
        <v>46135</v>
      </c>
      <c r="B15" s="2">
        <v>46130</v>
      </c>
      <c r="C15" s="1" t="s">
        <v>28</v>
      </c>
      <c r="D15" s="1">
        <v>50</v>
      </c>
      <c r="E15" s="1" t="s">
        <v>33</v>
      </c>
      <c r="F15" s="9">
        <v>4578</v>
      </c>
      <c r="G15" s="1">
        <v>327</v>
      </c>
      <c r="H15" s="1">
        <v>4557</v>
      </c>
      <c r="I15" s="1">
        <v>4578</v>
      </c>
      <c r="J15" s="1">
        <v>327</v>
      </c>
      <c r="K15" s="1">
        <f t="shared" si="0"/>
        <v>21</v>
      </c>
      <c r="L15" s="1">
        <f t="shared" si="1"/>
        <v>0</v>
      </c>
      <c r="M15" s="3">
        <f t="shared" si="2"/>
        <v>4.5871559633027525E-3</v>
      </c>
      <c r="N15" s="3">
        <f t="shared" si="3"/>
        <v>0</v>
      </c>
      <c r="O15" s="3">
        <f t="shared" si="4"/>
        <v>-4.5871559633027525E-3</v>
      </c>
      <c r="P15" s="11"/>
      <c r="Q15" s="11"/>
      <c r="R15" s="11"/>
      <c r="S15" s="11"/>
      <c r="T15" s="11"/>
      <c r="U15" s="11"/>
      <c r="V15" s="11"/>
    </row>
    <row r="16" spans="1:22" x14ac:dyDescent="0.25">
      <c r="A16" s="2">
        <v>46136</v>
      </c>
      <c r="B16" s="2">
        <v>46134</v>
      </c>
      <c r="C16" s="1" t="s">
        <v>47</v>
      </c>
      <c r="D16" s="1">
        <v>50</v>
      </c>
      <c r="E16" s="1" t="s">
        <v>43</v>
      </c>
      <c r="F16" s="7">
        <v>4718</v>
      </c>
      <c r="G16" s="1">
        <v>337</v>
      </c>
      <c r="H16" s="1">
        <v>4692</v>
      </c>
      <c r="I16" s="1">
        <v>4704</v>
      </c>
      <c r="J16" s="1">
        <v>336</v>
      </c>
      <c r="K16" s="1">
        <f t="shared" si="0"/>
        <v>12</v>
      </c>
      <c r="L16" s="1">
        <f t="shared" si="1"/>
        <v>14</v>
      </c>
      <c r="M16" s="3">
        <f t="shared" si="2"/>
        <v>2.5510204081632651E-3</v>
      </c>
      <c r="N16" s="3">
        <f t="shared" si="3"/>
        <v>2.976190476190476E-3</v>
      </c>
      <c r="O16" s="3">
        <f t="shared" si="4"/>
        <v>4.2517006802721092E-4</v>
      </c>
      <c r="P16" s="11"/>
      <c r="Q16" s="11"/>
      <c r="R16" s="11"/>
      <c r="S16" s="11"/>
      <c r="T16" s="11"/>
      <c r="U16" s="11"/>
      <c r="V16" s="11"/>
    </row>
    <row r="17" spans="1:22" x14ac:dyDescent="0.25">
      <c r="A17" s="2">
        <v>46136</v>
      </c>
      <c r="B17" s="2">
        <v>46130</v>
      </c>
      <c r="C17" s="1" t="s">
        <v>31</v>
      </c>
      <c r="D17" s="1">
        <v>50</v>
      </c>
      <c r="E17" s="1" t="s">
        <v>44</v>
      </c>
      <c r="F17" s="1">
        <v>4410</v>
      </c>
      <c r="G17" s="1">
        <v>315</v>
      </c>
      <c r="H17" s="1">
        <v>4800</v>
      </c>
      <c r="I17" s="1">
        <v>4815</v>
      </c>
      <c r="J17" s="1">
        <v>344</v>
      </c>
      <c r="K17" s="1">
        <f t="shared" si="0"/>
        <v>15</v>
      </c>
      <c r="L17" s="1">
        <f t="shared" si="1"/>
        <v>405</v>
      </c>
      <c r="M17" s="3">
        <f t="shared" si="2"/>
        <v>3.1152647975077881E-3</v>
      </c>
      <c r="N17" s="3">
        <f t="shared" si="3"/>
        <v>8.4112149532710276E-2</v>
      </c>
      <c r="O17" s="3">
        <f t="shared" si="4"/>
        <v>8.0996884735202487E-2</v>
      </c>
      <c r="P17" s="11"/>
      <c r="Q17" s="11"/>
      <c r="R17" s="11"/>
      <c r="S17" s="11"/>
      <c r="T17" s="11"/>
      <c r="U17" s="11"/>
      <c r="V17" s="11"/>
    </row>
    <row r="18" spans="1:22" x14ac:dyDescent="0.25">
      <c r="A18" s="2">
        <v>46136</v>
      </c>
      <c r="B18" s="2">
        <v>46130</v>
      </c>
      <c r="C18" s="1" t="s">
        <v>48</v>
      </c>
      <c r="D18" s="1">
        <v>50</v>
      </c>
      <c r="E18" s="1" t="s">
        <v>45</v>
      </c>
      <c r="F18" s="7">
        <v>4284</v>
      </c>
      <c r="G18" s="1">
        <v>306</v>
      </c>
      <c r="H18" s="1">
        <v>4268</v>
      </c>
      <c r="I18" s="1">
        <v>4298</v>
      </c>
      <c r="J18" s="1">
        <v>307</v>
      </c>
      <c r="K18" s="1">
        <f t="shared" si="0"/>
        <v>30</v>
      </c>
      <c r="L18" s="1">
        <f t="shared" si="1"/>
        <v>14</v>
      </c>
      <c r="M18" s="3">
        <f t="shared" si="2"/>
        <v>6.9799906933457421E-3</v>
      </c>
      <c r="N18" s="3">
        <f t="shared" si="3"/>
        <v>3.2573289902280132E-3</v>
      </c>
      <c r="O18" s="3">
        <f>(N18-M18)</f>
        <v>-3.7226617031177289E-3</v>
      </c>
      <c r="P18" s="11"/>
      <c r="Q18" s="11"/>
      <c r="R18" s="11"/>
      <c r="S18" s="11"/>
      <c r="T18" s="11"/>
      <c r="U18" s="11"/>
      <c r="V18" s="11"/>
    </row>
    <row r="19" spans="1:22" x14ac:dyDescent="0.25">
      <c r="A19" s="2">
        <v>46136</v>
      </c>
      <c r="B19" s="2">
        <v>46134</v>
      </c>
      <c r="C19" s="1" t="s">
        <v>49</v>
      </c>
      <c r="D19" s="1">
        <v>50</v>
      </c>
      <c r="E19" s="1" t="s">
        <v>46</v>
      </c>
      <c r="F19" s="7">
        <v>4452</v>
      </c>
      <c r="G19" s="1">
        <v>318</v>
      </c>
      <c r="H19" s="1">
        <v>4373</v>
      </c>
      <c r="I19" s="1">
        <v>4396</v>
      </c>
      <c r="J19" s="1">
        <v>314</v>
      </c>
      <c r="K19" s="1">
        <f t="shared" si="0"/>
        <v>23</v>
      </c>
      <c r="L19" s="1">
        <f t="shared" si="1"/>
        <v>56</v>
      </c>
      <c r="M19" s="3">
        <f t="shared" si="2"/>
        <v>5.2320291173794361E-3</v>
      </c>
      <c r="N19" s="3">
        <f t="shared" si="3"/>
        <v>1.2738853503184714E-2</v>
      </c>
      <c r="O19" s="3">
        <f>(N19-M19)</f>
        <v>7.506824385805278E-3</v>
      </c>
      <c r="P19" s="11"/>
      <c r="Q19" s="11"/>
      <c r="R19" s="11"/>
      <c r="S19" s="11"/>
      <c r="T19" s="11"/>
      <c r="U19" s="11"/>
      <c r="V19" s="11"/>
    </row>
    <row r="20" spans="1:22" x14ac:dyDescent="0.25">
      <c r="A20" s="2">
        <v>46136</v>
      </c>
      <c r="B20" s="2">
        <v>46134</v>
      </c>
      <c r="C20" s="1" t="s">
        <v>56</v>
      </c>
      <c r="D20" s="1">
        <v>30</v>
      </c>
      <c r="E20" s="1" t="s">
        <v>54</v>
      </c>
      <c r="F20" s="8">
        <v>5085</v>
      </c>
      <c r="G20" s="1">
        <v>339</v>
      </c>
      <c r="H20" s="1">
        <v>5059</v>
      </c>
      <c r="I20" s="1">
        <v>5040</v>
      </c>
      <c r="J20" s="1">
        <v>336</v>
      </c>
      <c r="K20" s="1">
        <f t="shared" si="0"/>
        <v>19</v>
      </c>
      <c r="L20" s="1">
        <f t="shared" si="1"/>
        <v>45</v>
      </c>
      <c r="M20" s="3">
        <f t="shared" si="2"/>
        <v>3.7698412698412699E-3</v>
      </c>
      <c r="N20" s="3">
        <f t="shared" si="3"/>
        <v>8.9285714285714281E-3</v>
      </c>
      <c r="O20" s="3">
        <f t="shared" si="4"/>
        <v>5.1587301587301577E-3</v>
      </c>
      <c r="P20" s="11"/>
      <c r="Q20" s="11"/>
      <c r="R20" s="11"/>
      <c r="S20" s="11"/>
      <c r="T20" s="11"/>
      <c r="U20" s="11"/>
      <c r="V20" s="11"/>
    </row>
    <row r="21" spans="1:22" x14ac:dyDescent="0.25">
      <c r="A21" s="2">
        <v>46136</v>
      </c>
      <c r="B21" s="2">
        <v>46130</v>
      </c>
      <c r="C21" s="1" t="s">
        <v>55</v>
      </c>
      <c r="D21" s="1">
        <v>30</v>
      </c>
      <c r="E21" s="1" t="s">
        <v>57</v>
      </c>
      <c r="F21" s="7">
        <v>4950</v>
      </c>
      <c r="G21" s="1">
        <v>330</v>
      </c>
      <c r="H21" s="1">
        <v>4947</v>
      </c>
      <c r="I21" s="1">
        <v>4935</v>
      </c>
      <c r="J21" s="1">
        <v>329</v>
      </c>
      <c r="K21" s="1">
        <f t="shared" si="0"/>
        <v>12</v>
      </c>
      <c r="L21" s="1">
        <f t="shared" si="1"/>
        <v>15</v>
      </c>
      <c r="M21" s="3">
        <f t="shared" si="2"/>
        <v>2.4316109422492403E-3</v>
      </c>
      <c r="N21" s="3">
        <f t="shared" si="3"/>
        <v>3.0395136778115501E-3</v>
      </c>
      <c r="O21" s="3">
        <f>(N21-M21)</f>
        <v>6.0790273556230985E-4</v>
      </c>
      <c r="P21" s="12"/>
      <c r="Q21" s="12"/>
      <c r="R21" s="12"/>
      <c r="S21" s="12"/>
      <c r="T21" s="12"/>
      <c r="U21" s="12"/>
      <c r="V21" s="12"/>
    </row>
    <row r="22" spans="1:22" x14ac:dyDescent="0.25">
      <c r="A22"/>
      <c r="B22"/>
      <c r="C22"/>
      <c r="D22"/>
      <c r="E22"/>
      <c r="F22"/>
      <c r="G22"/>
      <c r="H22"/>
      <c r="I22"/>
      <c r="J22"/>
      <c r="K22" s="5">
        <f>SUM(K2:K21)</f>
        <v>545</v>
      </c>
      <c r="L22" s="6">
        <f>SUM(L2:L21)</f>
        <v>1592</v>
      </c>
    </row>
    <row r="23" spans="1:22" x14ac:dyDescent="0.25">
      <c r="A23"/>
      <c r="B23"/>
      <c r="C23"/>
      <c r="D23"/>
      <c r="E23"/>
      <c r="F23"/>
      <c r="G23"/>
      <c r="H23"/>
      <c r="I23"/>
      <c r="J23"/>
      <c r="K23"/>
      <c r="L23"/>
    </row>
    <row r="24" spans="1:22" x14ac:dyDescent="0.25">
      <c r="A24"/>
      <c r="B24"/>
      <c r="C24"/>
      <c r="D24"/>
      <c r="E24"/>
      <c r="F24"/>
      <c r="G24"/>
      <c r="H24"/>
      <c r="I24"/>
      <c r="J24"/>
      <c r="K24"/>
      <c r="L24"/>
    </row>
    <row r="25" spans="1:22" x14ac:dyDescent="0.25">
      <c r="A25"/>
      <c r="B25"/>
      <c r="C25"/>
      <c r="D25"/>
      <c r="E25"/>
      <c r="F25"/>
      <c r="G25"/>
      <c r="H25"/>
      <c r="I25"/>
      <c r="J25"/>
      <c r="K25"/>
      <c r="L25"/>
    </row>
    <row r="26" spans="1:22" x14ac:dyDescent="0.25">
      <c r="A26"/>
      <c r="B26"/>
      <c r="C26"/>
      <c r="D26"/>
      <c r="E26"/>
      <c r="F26"/>
      <c r="G26"/>
      <c r="H26"/>
      <c r="I26"/>
      <c r="J26"/>
      <c r="K26"/>
      <c r="L26"/>
    </row>
    <row r="27" spans="1:22" x14ac:dyDescent="0.25">
      <c r="A27"/>
      <c r="B27"/>
      <c r="C27"/>
      <c r="D27"/>
      <c r="E27"/>
      <c r="F27"/>
      <c r="G27"/>
      <c r="H27"/>
      <c r="I27"/>
      <c r="J27"/>
      <c r="K27"/>
      <c r="L27"/>
    </row>
    <row r="28" spans="1:22" x14ac:dyDescent="0.25">
      <c r="A28"/>
      <c r="B28"/>
      <c r="C28"/>
      <c r="D28"/>
      <c r="E28"/>
      <c r="F28"/>
      <c r="G28"/>
      <c r="H28"/>
      <c r="I28"/>
      <c r="J28"/>
      <c r="K28"/>
      <c r="L28"/>
    </row>
    <row r="29" spans="1:22" x14ac:dyDescent="0.25">
      <c r="A29"/>
      <c r="B29"/>
      <c r="C29"/>
      <c r="D29"/>
      <c r="E29"/>
      <c r="F29"/>
      <c r="G29"/>
      <c r="H29"/>
      <c r="I29"/>
      <c r="J29"/>
      <c r="K29"/>
      <c r="L29"/>
    </row>
    <row r="30" spans="1:22" x14ac:dyDescent="0.25">
      <c r="A30"/>
      <c r="B30"/>
      <c r="C30"/>
      <c r="D30"/>
      <c r="E30"/>
      <c r="F30"/>
      <c r="G30"/>
      <c r="H30"/>
      <c r="I30"/>
      <c r="J30"/>
      <c r="K30"/>
      <c r="L30"/>
    </row>
    <row r="31" spans="1:22" x14ac:dyDescent="0.25">
      <c r="A31"/>
      <c r="B31"/>
      <c r="C31"/>
      <c r="D31"/>
      <c r="E31"/>
      <c r="F31"/>
      <c r="G31"/>
      <c r="H31"/>
      <c r="I31"/>
      <c r="J31"/>
      <c r="K31"/>
      <c r="L31"/>
    </row>
    <row r="32" spans="1:22" x14ac:dyDescent="0.25">
      <c r="A32"/>
      <c r="B32"/>
      <c r="C32"/>
      <c r="D32"/>
      <c r="E32"/>
      <c r="F32"/>
      <c r="G32"/>
      <c r="H32"/>
      <c r="I32"/>
      <c r="J32"/>
      <c r="K32"/>
      <c r="L32"/>
    </row>
    <row r="33" spans="1:12" x14ac:dyDescent="0.25">
      <c r="A33"/>
      <c r="B33"/>
      <c r="C33"/>
      <c r="D33"/>
      <c r="E33"/>
      <c r="F33"/>
      <c r="G33"/>
      <c r="H33"/>
      <c r="I33"/>
      <c r="J33"/>
      <c r="K33"/>
      <c r="L33"/>
    </row>
    <row r="34" spans="1:12" x14ac:dyDescent="0.25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25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25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25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25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25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25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25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25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25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25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25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25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25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25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25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25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25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25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25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25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25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25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25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25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25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25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25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25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25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25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25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25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25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25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25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25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25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25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25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2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2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25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25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25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25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25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25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25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25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25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25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25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25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25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25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25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25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25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25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25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25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25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25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25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25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25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25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25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25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25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25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25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25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25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25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25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25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25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25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25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25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25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25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25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25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25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25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25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25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25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25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25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25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25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25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25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25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25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25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25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25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25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25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25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25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25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25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25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25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25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25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25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25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25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25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25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25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25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25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25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25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25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25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25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25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25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25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25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25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x14ac:dyDescent="0.25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x14ac:dyDescent="0.25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x14ac:dyDescent="0.25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x14ac:dyDescent="0.25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x14ac:dyDescent="0.25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x14ac:dyDescent="0.25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x14ac:dyDescent="0.25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x14ac:dyDescent="0.25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x14ac:dyDescent="0.25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x14ac:dyDescent="0.25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x14ac:dyDescent="0.25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x14ac:dyDescent="0.25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x14ac:dyDescent="0.25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x14ac:dyDescent="0.25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x14ac:dyDescent="0.25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x14ac:dyDescent="0.25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x14ac:dyDescent="0.25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x14ac:dyDescent="0.25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x14ac:dyDescent="0.25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x14ac:dyDescent="0.25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x14ac:dyDescent="0.25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x14ac:dyDescent="0.25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x14ac:dyDescent="0.25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x14ac:dyDescent="0.25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x14ac:dyDescent="0.25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x14ac:dyDescent="0.25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x14ac:dyDescent="0.25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x14ac:dyDescent="0.25">
      <c r="A191"/>
      <c r="B191"/>
      <c r="C191"/>
      <c r="D191"/>
      <c r="E191"/>
      <c r="F191"/>
      <c r="G191"/>
      <c r="H191"/>
      <c r="I191"/>
      <c r="J191"/>
      <c r="K191"/>
      <c r="L191"/>
    </row>
  </sheetData>
  <mergeCells count="7">
    <mergeCell ref="U2:U21"/>
    <mergeCell ref="V2:V21"/>
    <mergeCell ref="P2:P21"/>
    <mergeCell ref="Q2:Q21"/>
    <mergeCell ref="R2:R21"/>
    <mergeCell ref="S2:S21"/>
    <mergeCell ref="T2:T2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2026-04-30T14:22:27Z</dcterms:modified>
</cp:coreProperties>
</file>